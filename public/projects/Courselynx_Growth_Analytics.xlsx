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9"/>
  <workbookPr defaultThemeVersion="166925"/>
  <xr:revisionPtr revIDLastSave="0" documentId="8_{04B1C1BA-4833-4F7B-85F9-ED1141107C7A}" xr6:coauthVersionLast="47" xr6:coauthVersionMax="47" xr10:uidLastSave="{00000000-0000-0000-0000-000000000000}"/>
  <bookViews>
    <workbookView xWindow="240" yWindow="105" windowWidth="14805" windowHeight="8010" firstSheet="4" xr2:uid="{00000000-000D-0000-FFFF-FFFF00000000}"/>
  </bookViews>
  <sheets>
    <sheet name="Campus Data" sheetId="1" r:id="rId1"/>
    <sheet name="Growth Dashboard" sheetId="2" r:id="rId2"/>
    <sheet name="Cost Analysis" sheetId="3" r:id="rId3"/>
    <sheet name="Performance Analysis" sheetId="4" r:id="rId4"/>
    <sheet name="Recommendation" sheetId="5" r:id="rId5"/>
    <sheet name="Model Assumptions" sheetId="6" r:id="rId6"/>
    <sheet name="Scenario Planner"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9" i="7" l="1"/>
  <c r="B9" i="7"/>
  <c r="C9" i="7"/>
  <c r="D9" i="7"/>
  <c r="E9" i="7"/>
  <c r="A10" i="7"/>
  <c r="B10" i="7"/>
  <c r="C10" i="7"/>
  <c r="D10" i="7"/>
  <c r="E10" i="7"/>
  <c r="A11" i="7"/>
  <c r="B11" i="7"/>
  <c r="C11" i="7"/>
  <c r="D11" i="7"/>
  <c r="E11" i="7"/>
  <c r="A12" i="7"/>
  <c r="B12" i="7"/>
  <c r="C12" i="7"/>
  <c r="D12" i="7"/>
  <c r="E12" i="7"/>
  <c r="A13" i="7"/>
  <c r="B13" i="7"/>
  <c r="C13" i="7"/>
  <c r="D13" i="7"/>
  <c r="E13" i="7"/>
  <c r="A14" i="7"/>
  <c r="B14" i="7"/>
  <c r="C14" i="7"/>
  <c r="D14" i="7"/>
  <c r="E14" i="7"/>
  <c r="A15" i="7"/>
  <c r="B15" i="7"/>
  <c r="C15" i="7"/>
  <c r="D15" i="7"/>
  <c r="E15" i="7"/>
  <c r="A16" i="7"/>
  <c r="B16" i="7"/>
  <c r="C16" i="7"/>
  <c r="D16" i="7"/>
  <c r="E16" i="7"/>
  <c r="A17" i="7"/>
  <c r="B17" i="7"/>
  <c r="C17" i="7"/>
  <c r="D17" i="7"/>
  <c r="E17" i="7"/>
  <c r="A18" i="7"/>
  <c r="B18" i="7"/>
  <c r="C18" i="7"/>
  <c r="D18" i="7"/>
  <c r="E18" i="7"/>
  <c r="A19" i="7"/>
  <c r="B19" i="7"/>
  <c r="C19" i="7"/>
  <c r="D19" i="7"/>
  <c r="E19" i="7"/>
  <c r="B8" i="7"/>
  <c r="A8" i="7"/>
  <c r="A3" i="4"/>
  <c r="B3" i="4"/>
  <c r="C3" i="4"/>
  <c r="D3" i="4"/>
  <c r="E3" i="4"/>
  <c r="A4" i="4"/>
  <c r="B4" i="4"/>
  <c r="C4" i="4"/>
  <c r="D4" i="4"/>
  <c r="E4" i="4"/>
  <c r="A5" i="4"/>
  <c r="B5" i="4"/>
  <c r="C5" i="4"/>
  <c r="D5" i="4"/>
  <c r="E5" i="4"/>
  <c r="A6" i="4"/>
  <c r="B6" i="4"/>
  <c r="C6" i="4"/>
  <c r="D6" i="4"/>
  <c r="E6" i="4"/>
  <c r="A7" i="4"/>
  <c r="B7" i="4"/>
  <c r="C7" i="4"/>
  <c r="D7" i="4"/>
  <c r="E7" i="4"/>
  <c r="A8" i="4"/>
  <c r="B8" i="4"/>
  <c r="C8" i="4"/>
  <c r="D8" i="4"/>
  <c r="E8" i="4"/>
  <c r="A9" i="4"/>
  <c r="B9" i="4"/>
  <c r="C9" i="4"/>
  <c r="D9" i="4"/>
  <c r="E9" i="4"/>
  <c r="A10" i="4"/>
  <c r="B10" i="4"/>
  <c r="C10" i="4"/>
  <c r="D10" i="4"/>
  <c r="E10" i="4"/>
  <c r="A11" i="4"/>
  <c r="B11" i="4"/>
  <c r="C11" i="4"/>
  <c r="D11" i="4"/>
  <c r="E11" i="4"/>
  <c r="A12" i="4"/>
  <c r="B12" i="4"/>
  <c r="C12" i="4"/>
  <c r="D12" i="4"/>
  <c r="E12" i="4"/>
  <c r="A13" i="4"/>
  <c r="B13" i="4"/>
  <c r="C13" i="4"/>
  <c r="D13" i="4"/>
  <c r="E13" i="4"/>
  <c r="C2" i="4"/>
  <c r="B2" i="4"/>
  <c r="A2" i="4"/>
  <c r="F3" i="3"/>
  <c r="G3" i="3"/>
  <c r="F4" i="3"/>
  <c r="G4" i="3"/>
  <c r="F5" i="3"/>
  <c r="G5" i="3"/>
  <c r="F6" i="3"/>
  <c r="G6" i="3"/>
  <c r="F7" i="3"/>
  <c r="G7" i="3"/>
  <c r="F8" i="3"/>
  <c r="G8" i="3"/>
  <c r="F9" i="3"/>
  <c r="G9" i="3"/>
  <c r="F10" i="3"/>
  <c r="G10" i="3"/>
  <c r="F11" i="3"/>
  <c r="G11" i="3"/>
  <c r="F12" i="3"/>
  <c r="G12" i="3"/>
  <c r="F13" i="3"/>
  <c r="G13" i="3"/>
  <c r="F2" i="3"/>
  <c r="C11" i="3"/>
  <c r="B11" i="3"/>
  <c r="C10" i="3"/>
  <c r="B10" i="3"/>
  <c r="C4" i="3"/>
  <c r="B4" i="3"/>
  <c r="C5" i="3"/>
  <c r="B5" i="3"/>
  <c r="C3" i="3"/>
  <c r="B3" i="3"/>
  <c r="C12" i="3"/>
  <c r="B12" i="3"/>
  <c r="C13" i="3"/>
  <c r="B13" i="3"/>
  <c r="C6" i="3"/>
  <c r="B6" i="3"/>
  <c r="C8" i="3"/>
  <c r="B8" i="3"/>
  <c r="C9" i="3"/>
  <c r="B9" i="3"/>
  <c r="C7" i="3"/>
  <c r="B7" i="3"/>
  <c r="B2" i="3"/>
  <c r="B5" i="2"/>
  <c r="E3" i="2"/>
  <c r="B3" i="2"/>
  <c r="G13" i="1"/>
  <c r="F13" i="1"/>
  <c r="E13" i="1"/>
  <c r="G12" i="1"/>
  <c r="F12" i="1"/>
  <c r="E12" i="1"/>
  <c r="G11" i="1"/>
  <c r="F11" i="1"/>
  <c r="E11" i="1"/>
  <c r="G10" i="1"/>
  <c r="F10" i="1"/>
  <c r="E10" i="1"/>
  <c r="G9" i="1"/>
  <c r="F9" i="1"/>
  <c r="E9" i="1"/>
  <c r="G8" i="1"/>
  <c r="F8" i="1"/>
  <c r="E8" i="1"/>
  <c r="G7" i="1"/>
  <c r="F7" i="1"/>
  <c r="E7" i="1"/>
  <c r="G6" i="1"/>
  <c r="F6" i="1"/>
  <c r="E6" i="1"/>
  <c r="G5" i="1"/>
  <c r="F5" i="1"/>
  <c r="E5" i="1"/>
  <c r="G4" i="1"/>
  <c r="F4" i="1"/>
  <c r="E4" i="1"/>
  <c r="G3" i="1"/>
  <c r="F3" i="1"/>
  <c r="E3" i="1"/>
  <c r="G2" i="1"/>
  <c r="F2" i="1"/>
  <c r="E2" i="1"/>
  <c r="C2" i="3" l="1"/>
  <c r="G2" i="3" s="1"/>
  <c r="E5" i="2"/>
  <c r="E2" i="4"/>
  <c r="D2" i="4"/>
  <c r="B20" i="7"/>
  <c r="D8" i="7"/>
  <c r="C8" i="7"/>
  <c r="C20" i="7" s="1"/>
  <c r="H2" i="7" s="1"/>
  <c r="D20" i="7"/>
  <c r="H3" i="7" s="1"/>
  <c r="E8" i="7"/>
  <c r="E20" i="7" s="1"/>
  <c r="H6" i="7" s="1"/>
  <c r="D2" i="3"/>
  <c r="D7" i="3"/>
  <c r="D9" i="3"/>
  <c r="D8" i="3"/>
  <c r="D6" i="3"/>
  <c r="D13" i="3"/>
  <c r="D12" i="3"/>
  <c r="D3" i="3"/>
  <c r="D5" i="3"/>
  <c r="D4" i="3"/>
  <c r="D10" i="3"/>
  <c r="D11" i="3"/>
</calcChain>
</file>

<file path=xl/sharedStrings.xml><?xml version="1.0" encoding="utf-8"?>
<sst xmlns="http://schemas.openxmlformats.org/spreadsheetml/2006/main" count="137" uniqueCount="83">
  <si>
    <t>Campus</t>
  </si>
  <si>
    <t>Followers</t>
  </si>
  <si>
    <t>Signups</t>
  </si>
  <si>
    <t>Account Status</t>
  </si>
  <si>
    <t>Signup Rank</t>
  </si>
  <si>
    <t>Signups per 100 Followers</t>
  </si>
  <si>
    <t>Estimated Commission</t>
  </si>
  <si>
    <t>Cornell</t>
  </si>
  <si>
    <t>Active</t>
  </si>
  <si>
    <t>UNC Charlotte</t>
  </si>
  <si>
    <t>Penn State</t>
  </si>
  <si>
    <t>Tennessee</t>
  </si>
  <si>
    <t>Rutgers</t>
  </si>
  <si>
    <t>Arizona State</t>
  </si>
  <si>
    <t>Michigan</t>
  </si>
  <si>
    <t>UCF</t>
  </si>
  <si>
    <t>FIU</t>
  </si>
  <si>
    <t>FSU</t>
  </si>
  <si>
    <t>Taken down</t>
  </si>
  <si>
    <t>UC Berkeley</t>
  </si>
  <si>
    <t>Clemson</t>
  </si>
  <si>
    <t>Courselynx Growth &amp; Operations Dashboard</t>
  </si>
  <si>
    <t>Total Signups</t>
  </si>
  <si>
    <t>Total Campuses</t>
  </si>
  <si>
    <t>Avg. Signups/Campus</t>
  </si>
  <si>
    <t>Modeled Commissions</t>
  </si>
  <si>
    <t>Commission figures are hypothetical estimates based on an assumed tiered incentive structure. They do not represent verified Courselynx expenditures. Signup-to-follower ratios are descriptive and should not be interpreted as conversion rates.</t>
  </si>
  <si>
    <t>Modeled Commission</t>
  </si>
  <si>
    <t>Modeled Cost per Signup</t>
  </si>
  <si>
    <t>Performance Category</t>
  </si>
  <si>
    <t>Priority</t>
  </si>
  <si>
    <t>Recommendation</t>
  </si>
  <si>
    <t>High</t>
  </si>
  <si>
    <t>Investigate successful campaigns behind its high signup-to-follower ratio and test similar approaches at other campuses.</t>
  </si>
  <si>
    <t>Maintain growth efforts and evaluate opportunities to expand beyond the current audience.</t>
  </si>
  <si>
    <t>Investigate whether restoring the account is feasible given its strong historical signup volume.</t>
  </si>
  <si>
    <t>Medium</t>
  </si>
  <si>
    <t>Review its marketing approach and compare it with other moderate-volume campuses.</t>
  </si>
  <si>
    <t>FIU &amp; FSU</t>
  </si>
  <si>
    <t>Diagnose low signup activity before committing additional resources.</t>
  </si>
  <si>
    <t>Executive Summary</t>
  </si>
  <si>
    <t>Courselynx recorded 472 signups across 12 campus accounts, averaging 39.3 signups per campus. Cornell led with 67 signups, while Arizona State had the highest reported signups per 100 followers at 18.58. Under a hypothetical tiered commission structure, total modeled commissions were $5,870. The analysis suggests investigating successful approaches at higher-performing campuses, reviewing opportunities to restore discontinued accounts, and diagnosing low signup activity at FIU and FSU before expanding investment.</t>
  </si>
  <si>
    <t>Assumption</t>
  </si>
  <si>
    <t>Value</t>
  </si>
  <si>
    <t>Explanation</t>
  </si>
  <si>
    <t>Commission Tier 1</t>
  </si>
  <si>
    <t>Applied to signups 1–5 at each campus</t>
  </si>
  <si>
    <t>Commission Tier 2</t>
  </si>
  <si>
    <t>Applied to signups 6–20 at each campus</t>
  </si>
  <si>
    <t>Commission Tier 3</t>
  </si>
  <si>
    <t>Applied to signups 21–50 at each campus</t>
  </si>
  <si>
    <t>Signups Beyond 50</t>
  </si>
  <si>
    <t>Assumed extension of the highest specified commission rate</t>
  </si>
  <si>
    <t>Qualifying Use</t>
  </si>
  <si>
    <t>1 signup = 1 use</t>
  </si>
  <si>
    <t>Assumption for modeling; actual significant uses may differ</t>
  </si>
  <si>
    <t>Commission Structure</t>
  </si>
  <si>
    <t>Marginal</t>
  </si>
  <si>
    <t>Each rate applies only to signups within its tier</t>
  </si>
  <si>
    <t>Modeled Costs</t>
  </si>
  <si>
    <t>Hypothetical</t>
  </si>
  <si>
    <t>Not verified payments or actual marketing expenses</t>
  </si>
  <si>
    <t>Follower Data</t>
  </si>
  <si>
    <t>Reported counts</t>
  </si>
  <si>
    <t>Missing follower counts remain blank</t>
  </si>
  <si>
    <t>Signup-to-Follower Ratio</t>
  </si>
  <si>
    <t>Descriptive metric</t>
  </si>
  <si>
    <t>Not a true marketing conversion rate</t>
  </si>
  <si>
    <t>Commission Tier</t>
  </si>
  <si>
    <t>Current Rate</t>
  </si>
  <si>
    <t>Proposed Rate</t>
  </si>
  <si>
    <t>Scenario</t>
  </si>
  <si>
    <t>Modeled Cost</t>
  </si>
  <si>
    <t>Signups 1–5</t>
  </si>
  <si>
    <t>Current Commission Plan</t>
  </si>
  <si>
    <t>Signups 6–20</t>
  </si>
  <si>
    <t>Proposed Commission Plan</t>
  </si>
  <si>
    <t>Signups 21+</t>
  </si>
  <si>
    <t>Modeled Saving %</t>
  </si>
  <si>
    <t>Current Cost</t>
  </si>
  <si>
    <t>Proposed Cost</t>
  </si>
  <si>
    <t>Savings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</si>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</sst>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quot;$&quot;#,##0.00"/>
    <numFmt numFmtId="165" formatCode="0.0"/>
    <numFmt numFmtId="172" formatCode="0.0%"/>
  </numFmts>
  <fonts count="5">
    <font>
      <sz val="11"/>
      <color theme="1"/>
      <name val="Calibri"/>
      <family val="2"/>
      <scheme val="minor"/>
    </font>
    <font>
      <b/>
      <sz val="18"/>
      <color rgb="FF000000"/>
      <name val="Calibri"/>
      <scheme val="minor"/>
    </font>
    <font>
      <b/>
      <sz val="11"/>
      <color theme="1"/>
      <name val="Calibri"/>
      <family val="2"/>
      <scheme val="minor"/>
    </font>
    <font>
      <b/>
      <sz val="18"/>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2" fontId="0" fillId="0" borderId="0" xfId="0" applyNumberFormat="1"/>
    <xf numFmtId="16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165" fontId="3" fillId="0" borderId="0" xfId="0" applyNumberFormat="1" applyFont="1"/>
    <xf numFmtId="164" fontId="3" fillId="0" borderId="0" xfId="0" applyNumberFormat="1" applyFont="1"/>
    <xf numFmtId="0" fontId="0" fillId="0" borderId="0" xfId="0" applyAlignment="1">
      <alignment wrapText="1"/>
    </xf>
    <xf numFmtId="0" fontId="0" fillId="0" borderId="0" xfId="0" applyAlignment="1">
      <alignment horizontal="left" vertical="top" wrapText="1"/>
    </xf>
    <xf numFmtId="6" fontId="0" fillId="0" borderId="0" xfId="0" applyNumberFormat="1"/>
    <xf numFmtId="172" fontId="0" fillId="0" borderId="0" xfId="0" applyNumberFormat="1"/>
  </cellXfs>
  <cellStyles count="1">
    <cellStyle name="Normal" xfId="0" builtinId="0"/>
  </cellStyles>
  <dxfs count="8">
    <dxf>
      <alignment wrapText="1"/>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64" formatCode="&quot;$&quot;#,##0.00"/>
    </dxf>
    <dxf>
      <numFmt numFmtId="164" formatCode="&quot;$&quot;#,##0.00"/>
    </dxf>
    <dxf>
      <numFmt numFmtId="164" formatCode="&quot;$&quot;#,##0.00"/>
    </dxf>
    <dxf>
      <numFmt numFmtId="2"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Courselynx Campus Signups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'Campus Data'!$J$1</c:f>
              <c:strCache>
                <c:ptCount val="1"/>
                <c:pt idx="0">
                  <c:v>Signups</c:v>
                </c:pt>
              </c:strCache>
            </c:strRef>
          </c:tx>
          <c:spPr>
            <a:solidFill>
              <a:schemeClr val="accent1"/>
            </a:solidFill>
            <a:ln>
              <a:noFill/>
            </a:ln>
            <a:effectLst/>
          </c:spPr>
          <c:invertIfNegative val="0"/>
          <c:cat>
            <c:strRef>
              <c:f>'Campus Data'!$I$2:$I$13</c:f>
              <c:strCache>
                <c:ptCount val="12"/>
                <c:pt idx="0">
                  <c:v>Cornell</c:v>
                </c:pt>
                <c:pt idx="1">
                  <c:v>Penn State</c:v>
                </c:pt>
                <c:pt idx="2">
                  <c:v>Rutgers</c:v>
                </c:pt>
                <c:pt idx="3">
                  <c:v>Michigan</c:v>
                </c:pt>
                <c:pt idx="4">
                  <c:v>UCF</c:v>
                </c:pt>
                <c:pt idx="5">
                  <c:v>UNC Charlotte</c:v>
                </c:pt>
                <c:pt idx="6">
                  <c:v>Arizona State</c:v>
                </c:pt>
                <c:pt idx="7">
                  <c:v>Tennessee</c:v>
                </c:pt>
                <c:pt idx="8">
                  <c:v>UC Berkeley</c:v>
                </c:pt>
                <c:pt idx="9">
                  <c:v>Clemson</c:v>
                </c:pt>
                <c:pt idx="10">
                  <c:v>FSU</c:v>
                </c:pt>
                <c:pt idx="11">
                  <c:v>FIU</c:v>
                </c:pt>
              </c:strCache>
            </c:strRef>
          </c:cat>
          <c:val>
            <c:numRef>
              <c:f>'Campus Data'!$J$2:$J$13</c:f>
              <c:numCache>
                <c:formatCode>General</c:formatCode>
                <c:ptCount val="12"/>
                <c:pt idx="0">
                  <c:v>67</c:v>
                </c:pt>
                <c:pt idx="1">
                  <c:v>65</c:v>
                </c:pt>
                <c:pt idx="2">
                  <c:v>57</c:v>
                </c:pt>
                <c:pt idx="3">
                  <c:v>54</c:v>
                </c:pt>
                <c:pt idx="4">
                  <c:v>51</c:v>
                </c:pt>
                <c:pt idx="5">
                  <c:v>47</c:v>
                </c:pt>
                <c:pt idx="6">
                  <c:v>47</c:v>
                </c:pt>
                <c:pt idx="7">
                  <c:v>46</c:v>
                </c:pt>
                <c:pt idx="8">
                  <c:v>29</c:v>
                </c:pt>
                <c:pt idx="9">
                  <c:v>6</c:v>
                </c:pt>
                <c:pt idx="10">
                  <c:v>2</c:v>
                </c:pt>
                <c:pt idx="11">
                  <c:v>1</c:v>
                </c:pt>
              </c:numCache>
            </c:numRef>
          </c:val>
          <c:extLst>
            <c:ext xmlns:c16="http://schemas.microsoft.com/office/drawing/2014/chart" uri="{C3380CC4-5D6E-409C-BE32-E72D297353CC}">
              <c16:uniqueId val="{00000000-A912-4CF1-A278-8716A7E07F01}"/>
            </c:ext>
          </c:extLst>
        </c:ser>
        <c:dLbls>
          <c:showLegendKey val="0"/>
          <c:showVal val="0"/>
          <c:showCatName val="0"/>
          <c:showSerName val="0"/>
          <c:showPercent val="0"/>
          <c:showBubbleSize val="0"/>
        </c:dLbls>
        <c:gapWidth val="182"/>
        <c:axId val="1059246087"/>
        <c:axId val="1059248647"/>
      </c:barChart>
      <c:catAx>
        <c:axId val="1059246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48647"/>
        <c:crosses val="autoZero"/>
        <c:auto val="1"/>
        <c:lblAlgn val="ctr"/>
        <c:lblOffset val="100"/>
        <c:noMultiLvlLbl val="0"/>
      </c:catAx>
      <c:valAx>
        <c:axId val="1059248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46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'Cost Analysis'!$G$1</c:f>
              <c:strCache>
                <c:ptCount val="1"/>
                <c:pt idx="0">
                  <c:v>Modeled Commission</c:v>
                </c:pt>
              </c:strCache>
            </c:strRef>
          </c:tx>
          <c:spPr>
            <a:solidFill>
              <a:schemeClr val="accent1"/>
            </a:solidFill>
            <a:ln>
              <a:noFill/>
            </a:ln>
            <a:effectLst/>
          </c:spPr>
          <c:invertIfNegative val="0"/>
          <c:cat>
            <c:strRef>
              <c:f>'Cost Analysis'!$F$2:$F$13</c:f>
              <c:strCache>
                <c:ptCount val="12"/>
                <c:pt idx="0">
                  <c:v>Cornell</c:v>
                </c:pt>
                <c:pt idx="1">
                  <c:v>Penn State</c:v>
                </c:pt>
                <c:pt idx="2">
                  <c:v>Rutgers</c:v>
                </c:pt>
                <c:pt idx="3">
                  <c:v>Michigan</c:v>
                </c:pt>
                <c:pt idx="4">
                  <c:v>UCF</c:v>
                </c:pt>
                <c:pt idx="5">
                  <c:v>UNC Charlotte</c:v>
                </c:pt>
                <c:pt idx="6">
                  <c:v>Arizona State</c:v>
                </c:pt>
                <c:pt idx="7">
                  <c:v>Tennessee</c:v>
                </c:pt>
                <c:pt idx="8">
                  <c:v>UC Berkeley</c:v>
                </c:pt>
                <c:pt idx="9">
                  <c:v>Clemson</c:v>
                </c:pt>
                <c:pt idx="10">
                  <c:v>FSU</c:v>
                </c:pt>
                <c:pt idx="11">
                  <c:v>FIU</c:v>
                </c:pt>
              </c:strCache>
            </c:strRef>
          </c:cat>
          <c:val>
            <c:numRef>
              <c:f>'Cost Analysis'!$G$2:$G$13</c:f>
              <c:numCache>
                <c:formatCode>"$"#,##0.00</c:formatCode>
                <c:ptCount val="12"/>
                <c:pt idx="0">
                  <c:v>880</c:v>
                </c:pt>
                <c:pt idx="1">
                  <c:v>850</c:v>
                </c:pt>
                <c:pt idx="2">
                  <c:v>730</c:v>
                </c:pt>
                <c:pt idx="3">
                  <c:v>685</c:v>
                </c:pt>
                <c:pt idx="4">
                  <c:v>640</c:v>
                </c:pt>
                <c:pt idx="5">
                  <c:v>580</c:v>
                </c:pt>
                <c:pt idx="6">
                  <c:v>580</c:v>
                </c:pt>
                <c:pt idx="7">
                  <c:v>565</c:v>
                </c:pt>
                <c:pt idx="8">
                  <c:v>310</c:v>
                </c:pt>
                <c:pt idx="9">
                  <c:v>35</c:v>
                </c:pt>
                <c:pt idx="10">
                  <c:v>10</c:v>
                </c:pt>
                <c:pt idx="11">
                  <c:v>5</c:v>
                </c:pt>
              </c:numCache>
            </c:numRef>
          </c:val>
          <c:extLst>
            <c:ext xmlns:c16="http://schemas.microsoft.com/office/drawing/2014/chart" uri="{C3380CC4-5D6E-409C-BE32-E72D297353CC}">
              <c16:uniqueId val="{00000000-6BBE-4666-A229-5A0129CF3671}"/>
            </c:ext>
          </c:extLst>
        </c:ser>
        <c:dLbls>
          <c:showLegendKey val="0"/>
          <c:showVal val="0"/>
          <c:showCatName val="0"/>
          <c:showSerName val="0"/>
          <c:showPercent val="0"/>
          <c:showBubbleSize val="0"/>
        </c:dLbls>
        <c:gapWidth val="182"/>
        <c:axId val="1620669448"/>
        <c:axId val="1626065416"/>
      </c:barChart>
      <c:catAx>
        <c:axId val="1620669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065416"/>
        <c:crosses val="autoZero"/>
        <c:auto val="1"/>
        <c:lblAlgn val="ctr"/>
        <c:lblOffset val="100"/>
        <c:noMultiLvlLbl val="0"/>
      </c:catAx>
      <c:valAx>
        <c:axId val="1626065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6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Commission Budget | Current vs. Proposed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'Scenario Planner'!$H$1</c:f>
              <c:strCache>
                <c:ptCount val="1"/>
                <c:pt idx="0">
                  <c:v>Modeled Cost</c:v>
                </c:pt>
              </c:strCache>
            </c:strRef>
          </c:tx>
          <c:spPr>
            <a:solidFill>
              <a:schemeClr val="accent1"/>
            </a:solidFill>
            <a:ln>
              <a:noFill/>
            </a:ln>
            <a:effectLst/>
          </c:spPr>
          <c:invertIfNegative val="0"/>
          <c:cat>
            <c:strRef>
              <c:f>'Scenario Planner'!$G$2:$G$3</c:f>
              <c:strCache>
                <c:ptCount val="2"/>
                <c:pt idx="0">
                  <c:v>Current Commission Plan</c:v>
                </c:pt>
                <c:pt idx="1">
                  <c:v>Proposed Commission Plan</c:v>
                </c:pt>
              </c:strCache>
            </c:strRef>
          </c:cat>
          <c:val>
            <c:numRef>
              <c:f>'Scenario Planner'!$H$2:$H$3</c:f>
              <c:numCache>
                <c:formatCode>"$"#,##0.00</c:formatCode>
                <c:ptCount val="2"/>
                <c:pt idx="0">
                  <c:v>5870</c:v>
                </c:pt>
                <c:pt idx="1">
                  <c:v>4749</c:v>
                </c:pt>
              </c:numCache>
            </c:numRef>
          </c:val>
          <c:extLst>
            <c:ext xmlns:c16="http://schemas.microsoft.com/office/drawing/2014/chart" uri="{C3380CC4-5D6E-409C-BE32-E72D297353CC}">
              <c16:uniqueId val="{00000000-F383-420B-A74C-A6FEB78FB7D4}"/>
            </c:ext>
          </c:extLst>
        </c:ser>
        <c:dLbls>
          <c:showLegendKey val="0"/>
          <c:showVal val="0"/>
          <c:showCatName val="0"/>
          <c:showSerName val="0"/>
          <c:showPercent val="0"/>
          <c:showBubbleSize val="0"/>
        </c:dLbls>
        <c:gapWidth val="219"/>
        <c:overlap val="-27"/>
        <c:axId val="1035778567"/>
        <c:axId val="1888004103"/>
      </c:barChart>
      <c:catAx>
        <c:axId val="1035778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004103"/>
        <c:crosses val="autoZero"/>
        <c:auto val="1"/>
        <c:lblAlgn val="ctr"/>
        <c:lblOffset val="100"/>
        <c:noMultiLvlLbl val="0"/>
      </c:catAx>
      <c:valAx>
        <c:axId val="1888004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78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600075</xdr:colOff>
      <xdr:row>20</xdr:row>
      <xdr:rowOff>123825</xdr:rowOff>
    </xdr:to>
    <xdr:graphicFrame macro="">
      <xdr:nvGraphicFramePr>
        <xdr:cNvPr id="3" name="Chart 1">
          <a:extLst>
            <a:ext uri="{FF2B5EF4-FFF2-40B4-BE49-F238E27FC236}">
              <a16:creationId xmlns:a16="http://schemas.microsoft.com/office/drawing/2014/main" id="{DC88388B-EE24-4DE4-A240-EBB5DE2A3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4</xdr:col>
      <xdr:colOff>571500</xdr:colOff>
      <xdr:row>37</xdr:row>
      <xdr:rowOff>76200</xdr:rowOff>
    </xdr:to>
    <xdr:graphicFrame macro="">
      <xdr:nvGraphicFramePr>
        <xdr:cNvPr id="2" name="Chart 2">
          <a:extLst>
            <a:ext uri="{FF2B5EF4-FFF2-40B4-BE49-F238E27FC236}">
              <a16:creationId xmlns:a16="http://schemas.microsoft.com/office/drawing/2014/main" id="{1003A40B-4B08-44DD-A288-6CFF4547AD31}"/>
            </a:ext>
            <a:ext uri="{147F2762-F138-4A5C-976F-8EAC2B608ADB}">
              <a16:predDERef xmlns:a16="http://schemas.microsoft.com/office/drawing/2014/main" pred="{DC88388B-EE24-4DE4-A240-EBB5DE2A3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0</xdr:rowOff>
    </xdr:from>
    <xdr:to>
      <xdr:col>4</xdr:col>
      <xdr:colOff>571500</xdr:colOff>
      <xdr:row>60</xdr:row>
      <xdr:rowOff>76200</xdr:rowOff>
    </xdr:to>
    <xdr:graphicFrame macro="">
      <xdr:nvGraphicFramePr>
        <xdr:cNvPr id="4" name="Chart 3">
          <a:extLst>
            <a:ext uri="{FF2B5EF4-FFF2-40B4-BE49-F238E27FC236}">
              <a16:creationId xmlns:a16="http://schemas.microsoft.com/office/drawing/2014/main" id="{4DAF1933-3684-4281-954F-DAF578634E76}"/>
            </a:ext>
            <a:ext uri="{147F2762-F138-4A5C-976F-8EAC2B608ADB}">
              <a16:predDERef xmlns:a16="http://schemas.microsoft.com/office/drawing/2014/main" pred="{1003A40B-4B08-44DD-A288-6CFF4547A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B7AC9-97CC-4C7C-A0EE-FD5A46993A2F}" name="Table1" displayName="Table1" ref="A1:G13" totalsRowShown="0">
  <autoFilter ref="A1:G13" xr:uid="{470B7AC9-97CC-4C7C-A0EE-FD5A46993A2F}"/>
  <tableColumns count="7">
    <tableColumn id="1" xr3:uid="{8BD78CA7-C7CC-4D92-BF3A-1315E2BDE487}" name="Campus"/>
    <tableColumn id="2" xr3:uid="{804927A5-0313-483F-BF71-FC930E54F3CD}" name="Followers"/>
    <tableColumn id="3" xr3:uid="{F22C44BC-308C-428E-B14A-722EFA175919}" name="Signups"/>
    <tableColumn id="4" xr3:uid="{865E7D6F-F651-404E-9D72-481EA1909346}" name="Account Status"/>
    <tableColumn id="5" xr3:uid="{6DDC9F9B-F306-43E4-92FE-41AB50CDEC27}" name="Signup Rank">
      <calculatedColumnFormula>_xlfn.RANK.EQ(C2,$C$2:$C$13,0)</calculatedColumnFormula>
    </tableColumn>
    <tableColumn id="6" xr3:uid="{8AD13627-47DB-4AD3-8E2E-1AE4C955395E}" name="Signups per 100 Followers" dataDxfId="7"/>
    <tableColumn id="7" xr3:uid="{BA0DEBEE-8816-495B-A54D-2B9E67E189CC}" name="Estimated Commission" dataDxfId="6">
      <calculatedColumnFormula>MIN(C2,5)*5+MAX(0,MIN(C2-5,15))*10+MAX(0,C2-20)*15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02C97E-738D-4573-AF9D-41EF6AA3C596}" name="Table2" displayName="Table2" ref="A1:D13" totalsRowShown="0">
  <autoFilter ref="A1:D13" xr:uid="{3002C97E-738D-4573-AF9D-41EF6AA3C596}"/>
  <sortState xmlns:xlrd2="http://schemas.microsoft.com/office/spreadsheetml/2017/richdata2" ref="A2:D13">
    <sortCondition descending="1" ref="C1:C13"/>
  </sortState>
  <tableColumns count="4">
    <tableColumn id="1" xr3:uid="{32D30D23-B449-43D2-BDC2-AB62338409AD}" name="Campus"/>
    <tableColumn id="2" xr3:uid="{B648416C-C2D7-4E7C-A4FA-01E57A5D8EFD}" name="Signups">
      <calculatedColumnFormula>'Campus Data'!C2</calculatedColumnFormula>
    </tableColumn>
    <tableColumn id="3" xr3:uid="{F00658D7-9AB3-4436-B21A-A270045D3557}" name="Modeled Commission" dataDxfId="5">
      <calculatedColumnFormula>'Campus Data'!G2</calculatedColumnFormula>
    </tableColumn>
    <tableColumn id="4" xr3:uid="{6192C213-95AA-4FF4-8394-88B43D7E21D3}" name="Modeled Cost per Signup" dataDxfId="4">
      <calculatedColumnFormula>IFERROR(C2/B2,0)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CE7A05-5867-4E93-9FED-741D16CDC991}" name="Table3" displayName="Table3" ref="A1:C6" totalsRowShown="0">
  <autoFilter ref="A1:C6" xr:uid="{FFCE7A05-5867-4E93-9FED-741D16CDC991}"/>
  <tableColumns count="3">
    <tableColumn id="1" xr3:uid="{18E7BF73-E407-4FC0-B368-D1D95A3B40A8}" name="Priority"/>
    <tableColumn id="2" xr3:uid="{3A64097A-B095-47F8-A8CA-38AEEC4F2583}" name="Campus"/>
    <tableColumn id="3" xr3:uid="{D50D837D-6197-4C6F-9AF3-A006FE38E6CD}" name="Recommendation"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237954-08C1-4FB3-AFC1-FA51C996A2AE}" name="Table4" displayName="Table4" ref="A1:C10" totalsRowShown="0">
  <autoFilter ref="A1:C10" xr:uid="{91237954-08C1-4FB3-AFC1-FA51C996A2AE}"/>
  <tableColumns count="3">
    <tableColumn id="1" xr3:uid="{CEF7A302-2959-4A15-B81E-2F9A5034FEFB}" name="Assumption"/>
    <tableColumn id="2" xr3:uid="{C5540938-4D81-4718-95FA-7A1AB401DB09}" name="Value"/>
    <tableColumn id="3" xr3:uid="{EFC2DDF3-659E-4452-A0EC-C074891B2708}" name="Explan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workbookViewId="0">
      <selection activeCell="D16" sqref="D16"/>
    </sheetView>
  </sheetViews>
  <sheetFormatPr defaultRowHeight="15"/>
  <cols>
    <col min="1" max="1" width="13.85546875" bestFit="1" customWidth="1"/>
    <col min="2" max="2" width="12" bestFit="1" customWidth="1"/>
    <col min="3" max="3" width="10.28515625" bestFit="1" customWidth="1"/>
    <col min="4" max="4" width="16.85546875" bestFit="1" customWidth="1"/>
    <col min="5" max="5" width="14.42578125" bestFit="1" customWidth="1"/>
    <col min="6" max="6" width="27" style="1" bestFit="1" customWidth="1"/>
    <col min="7" max="7" width="24.140625" style="2" bestFit="1" customWidth="1"/>
  </cols>
  <sheetData>
    <row r="1" spans="1:10">
      <c r="A1" t="s">
        <v>0</v>
      </c>
      <c r="B1" t="s">
        <v>1</v>
      </c>
      <c r="C1" t="s">
        <v>2</v>
      </c>
      <c r="D1" t="s">
        <v>3</v>
      </c>
      <c r="E1" t="s">
        <v>4</v>
      </c>
      <c r="F1" s="1" t="s">
        <v>5</v>
      </c>
      <c r="G1" s="2" t="s">
        <v>6</v>
      </c>
      <c r="I1" t="s">
        <v>0</v>
      </c>
      <c r="J1" t="s">
        <v>2</v>
      </c>
    </row>
    <row r="2" spans="1:10">
      <c r="A2" t="s">
        <v>7</v>
      </c>
      <c r="B2">
        <v>486</v>
      </c>
      <c r="C2">
        <v>67</v>
      </c>
      <c r="D2" t="s">
        <v>8</v>
      </c>
      <c r="E2">
        <f>_xlfn.RANK.EQ(C2,$C$2:$C$13,0)</f>
        <v>1</v>
      </c>
      <c r="F2" s="1">
        <f>IFERROR(C2/B2*100,"")</f>
        <v>13.786008230452676</v>
      </c>
      <c r="G2" s="2">
        <f>MIN(C2,5)*5+MAX(0,MIN(C2-5,15))*10+MAX(0,C2-20)*15</f>
        <v>880</v>
      </c>
      <c r="I2" t="s">
        <v>7</v>
      </c>
      <c r="J2">
        <v>67</v>
      </c>
    </row>
    <row r="3" spans="1:10">
      <c r="A3" t="s">
        <v>9</v>
      </c>
      <c r="B3">
        <v>464</v>
      </c>
      <c r="C3">
        <v>47</v>
      </c>
      <c r="D3" t="s">
        <v>8</v>
      </c>
      <c r="E3">
        <f>_xlfn.RANK.EQ(C3,$C$2:$C$13,0)</f>
        <v>6</v>
      </c>
      <c r="F3" s="1">
        <f>IFERROR(C3/B3*100,"")</f>
        <v>10.129310344827585</v>
      </c>
      <c r="G3" s="2">
        <f>MIN(C3,5)*5+MAX(0,MIN(C3-5,15))*10+MAX(0,C3-20)*15</f>
        <v>580</v>
      </c>
      <c r="I3" t="s">
        <v>10</v>
      </c>
      <c r="J3">
        <v>65</v>
      </c>
    </row>
    <row r="4" spans="1:10">
      <c r="A4" t="s">
        <v>11</v>
      </c>
      <c r="B4">
        <v>297</v>
      </c>
      <c r="C4">
        <v>46</v>
      </c>
      <c r="D4" t="s">
        <v>8</v>
      </c>
      <c r="E4">
        <f>_xlfn.RANK.EQ(C4,$C$2:$C$13,0)</f>
        <v>8</v>
      </c>
      <c r="F4" s="1">
        <f>IFERROR(C4/B4*100,"")</f>
        <v>15.488215488215488</v>
      </c>
      <c r="G4" s="2">
        <f>MIN(C4,5)*5+MAX(0,MIN(C4-5,15))*10+MAX(0,C4-20)*15</f>
        <v>565</v>
      </c>
      <c r="I4" t="s">
        <v>12</v>
      </c>
      <c r="J4">
        <v>57</v>
      </c>
    </row>
    <row r="5" spans="1:10">
      <c r="A5" t="s">
        <v>13</v>
      </c>
      <c r="B5">
        <v>253</v>
      </c>
      <c r="C5">
        <v>47</v>
      </c>
      <c r="D5" t="s">
        <v>8</v>
      </c>
      <c r="E5">
        <f>_xlfn.RANK.EQ(C5,$C$2:$C$13,0)</f>
        <v>6</v>
      </c>
      <c r="F5" s="1">
        <f>IFERROR(C5/B5*100,"")</f>
        <v>18.57707509881423</v>
      </c>
      <c r="G5" s="2">
        <f>MIN(C5,5)*5+MAX(0,MIN(C5-5,15))*10+MAX(0,C5-20)*15</f>
        <v>580</v>
      </c>
      <c r="I5" t="s">
        <v>14</v>
      </c>
      <c r="J5">
        <v>54</v>
      </c>
    </row>
    <row r="6" spans="1:10">
      <c r="A6" t="s">
        <v>15</v>
      </c>
      <c r="B6">
        <v>402</v>
      </c>
      <c r="C6">
        <v>51</v>
      </c>
      <c r="D6" t="s">
        <v>8</v>
      </c>
      <c r="E6">
        <f>_xlfn.RANK.EQ(C6,$C$2:$C$13,0)</f>
        <v>5</v>
      </c>
      <c r="F6" s="1">
        <f>IFERROR(C6/B6*100,"")</f>
        <v>12.686567164179104</v>
      </c>
      <c r="G6" s="2">
        <f>MIN(C6,5)*5+MAX(0,MIN(C6-5,15))*10+MAX(0,C6-20)*15</f>
        <v>640</v>
      </c>
      <c r="I6" t="s">
        <v>15</v>
      </c>
      <c r="J6">
        <v>51</v>
      </c>
    </row>
    <row r="7" spans="1:10">
      <c r="A7" t="s">
        <v>16</v>
      </c>
      <c r="B7">
        <v>57</v>
      </c>
      <c r="C7">
        <v>1</v>
      </c>
      <c r="D7" t="s">
        <v>8</v>
      </c>
      <c r="E7">
        <f>_xlfn.RANK.EQ(C7,$C$2:$C$13,0)</f>
        <v>12</v>
      </c>
      <c r="F7" s="1">
        <f>IFERROR(C7/B7*100,"")</f>
        <v>1.7543859649122806</v>
      </c>
      <c r="G7" s="2">
        <f>MIN(C7,5)*5+MAX(0,MIN(C7-5,15))*10+MAX(0,C7-20)*15</f>
        <v>5</v>
      </c>
      <c r="I7" t="s">
        <v>9</v>
      </c>
      <c r="J7">
        <v>47</v>
      </c>
    </row>
    <row r="8" spans="1:10">
      <c r="A8" t="s">
        <v>17</v>
      </c>
      <c r="B8">
        <v>63</v>
      </c>
      <c r="C8">
        <v>2</v>
      </c>
      <c r="D8" t="s">
        <v>8</v>
      </c>
      <c r="E8">
        <f>_xlfn.RANK.EQ(C8,$C$2:$C$13,0)</f>
        <v>11</v>
      </c>
      <c r="F8" s="1">
        <f>IFERROR(C8/B8*100,"")</f>
        <v>3.1746031746031744</v>
      </c>
      <c r="G8" s="2">
        <f>MIN(C8,5)*5+MAX(0,MIN(C8-5,15))*10+MAX(0,C8-20)*15</f>
        <v>10</v>
      </c>
      <c r="I8" t="s">
        <v>13</v>
      </c>
      <c r="J8">
        <v>47</v>
      </c>
    </row>
    <row r="9" spans="1:10">
      <c r="A9" t="s">
        <v>10</v>
      </c>
      <c r="C9">
        <v>65</v>
      </c>
      <c r="D9" t="s">
        <v>18</v>
      </c>
      <c r="E9">
        <f>_xlfn.RANK.EQ(C9,$C$2:$C$13,0)</f>
        <v>2</v>
      </c>
      <c r="F9" s="1" t="str">
        <f>IF(B9="","",IFERROR(C9/B9*100,""))</f>
        <v/>
      </c>
      <c r="G9" s="2">
        <f>MIN(C9,5)*5+MAX(0,MIN(C9-5,15))*10+MAX(0,C9-20)*15</f>
        <v>850</v>
      </c>
      <c r="I9" t="s">
        <v>11</v>
      </c>
      <c r="J9">
        <v>46</v>
      </c>
    </row>
    <row r="10" spans="1:10">
      <c r="A10" t="s">
        <v>14</v>
      </c>
      <c r="B10">
        <v>351</v>
      </c>
      <c r="C10">
        <v>54</v>
      </c>
      <c r="D10" t="s">
        <v>8</v>
      </c>
      <c r="E10">
        <f>_xlfn.RANK.EQ(C10,$C$2:$C$13,0)</f>
        <v>4</v>
      </c>
      <c r="F10" s="1">
        <f>IFERROR(C10/B10*100,"")</f>
        <v>15.384615384615385</v>
      </c>
      <c r="G10" s="2">
        <f>MIN(C10,5)*5+MAX(0,MIN(C10-5,15))*10+MAX(0,C10-20)*15</f>
        <v>685</v>
      </c>
      <c r="I10" t="s">
        <v>19</v>
      </c>
      <c r="J10">
        <v>29</v>
      </c>
    </row>
    <row r="11" spans="1:10">
      <c r="A11" t="s">
        <v>12</v>
      </c>
      <c r="B11">
        <v>439</v>
      </c>
      <c r="C11">
        <v>57</v>
      </c>
      <c r="D11" t="s">
        <v>8</v>
      </c>
      <c r="E11">
        <f>_xlfn.RANK.EQ(C11,$C$2:$C$13,0)</f>
        <v>3</v>
      </c>
      <c r="F11" s="1">
        <f>IFERROR(C11/B11*100,"")</f>
        <v>12.984054669703873</v>
      </c>
      <c r="G11" s="2">
        <f>MIN(C11,5)*5+MAX(0,MIN(C11-5,15))*10+MAX(0,C11-20)*15</f>
        <v>730</v>
      </c>
      <c r="I11" t="s">
        <v>20</v>
      </c>
      <c r="J11">
        <v>6</v>
      </c>
    </row>
    <row r="12" spans="1:10">
      <c r="A12" t="s">
        <v>19</v>
      </c>
      <c r="C12">
        <v>29</v>
      </c>
      <c r="D12" t="s">
        <v>18</v>
      </c>
      <c r="E12">
        <f>_xlfn.RANK.EQ(C12,$C$2:$C$13,0)</f>
        <v>9</v>
      </c>
      <c r="F12" s="1" t="str">
        <f>IF(B12="","",IFERROR(C12/B12*100,""))</f>
        <v/>
      </c>
      <c r="G12" s="2">
        <f>MIN(C12,5)*5+MAX(0,MIN(C12-5,15))*10+MAX(0,C12-20)*15</f>
        <v>310</v>
      </c>
      <c r="I12" t="s">
        <v>17</v>
      </c>
      <c r="J12">
        <v>2</v>
      </c>
    </row>
    <row r="13" spans="1:10">
      <c r="A13" t="s">
        <v>20</v>
      </c>
      <c r="C13">
        <v>6</v>
      </c>
      <c r="D13" t="s">
        <v>18</v>
      </c>
      <c r="E13">
        <f>_xlfn.RANK.EQ(C13,$C$2:$C$13,0)</f>
        <v>10</v>
      </c>
      <c r="F13" s="1" t="str">
        <f>IF(B13="","",IFERROR(C13/B13*100,""))</f>
        <v/>
      </c>
      <c r="G13" s="2">
        <f>MIN(C13,5)*5+MAX(0,MIN(C13-5,15))*10+MAX(0,C13-20)*15</f>
        <v>35</v>
      </c>
      <c r="I13" t="s">
        <v>16</v>
      </c>
      <c r="J1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74D3B-CE2B-4242-8CB5-71E7CF42EA6E}">
  <dimension ref="A1:H44"/>
  <sheetViews>
    <sheetView workbookViewId="0">
      <selection activeCell="F47" sqref="F47"/>
    </sheetView>
  </sheetViews>
  <sheetFormatPr defaultRowHeight="15"/>
  <cols>
    <col min="1" max="1" width="19.28515625" customWidth="1"/>
    <col min="4" max="4" width="22.42578125" customWidth="1"/>
    <col min="5" max="5" width="15.42578125" bestFit="1" customWidth="1"/>
  </cols>
  <sheetData>
    <row r="1" spans="1:8" ht="23.25">
      <c r="A1" s="3" t="s">
        <v>21</v>
      </c>
    </row>
    <row r="3" spans="1:8" ht="23.25">
      <c r="A3" t="s">
        <v>22</v>
      </c>
      <c r="B3" s="5">
        <f>SUM('Campus Data'!C2:C13)</f>
        <v>472</v>
      </c>
      <c r="D3" t="s">
        <v>23</v>
      </c>
      <c r="E3" s="5">
        <f>COUNTA('Campus Data'!A2:A13)</f>
        <v>12</v>
      </c>
    </row>
    <row r="4" spans="1:8">
      <c r="B4" s="4"/>
    </row>
    <row r="5" spans="1:8" ht="23.25">
      <c r="A5" t="s">
        <v>24</v>
      </c>
      <c r="B5" s="7">
        <f>AVERAGE('Campus Data'!C2:C13)</f>
        <v>39.333333333333336</v>
      </c>
      <c r="D5" t="s">
        <v>25</v>
      </c>
      <c r="E5" s="8">
        <f>SUM('Campus Data'!G2:G13)</f>
        <v>5870</v>
      </c>
      <c r="H5" s="6"/>
    </row>
    <row r="6" spans="1:8">
      <c r="B6" s="4"/>
    </row>
    <row r="40" spans="1:5">
      <c r="A40" s="10" t="s">
        <v>26</v>
      </c>
      <c r="B40" s="10"/>
      <c r="C40" s="10"/>
      <c r="D40" s="10"/>
      <c r="E40" s="10"/>
    </row>
    <row r="41" spans="1:5">
      <c r="A41" s="10"/>
      <c r="B41" s="10"/>
      <c r="C41" s="10"/>
      <c r="D41" s="10"/>
      <c r="E41" s="10"/>
    </row>
    <row r="42" spans="1:5">
      <c r="A42" s="10"/>
      <c r="B42" s="10"/>
      <c r="C42" s="10"/>
      <c r="D42" s="10"/>
      <c r="E42" s="10"/>
    </row>
    <row r="43" spans="1:5">
      <c r="A43" s="10"/>
      <c r="B43" s="10"/>
      <c r="C43" s="10"/>
      <c r="D43" s="10"/>
      <c r="E43" s="10"/>
    </row>
    <row r="44" spans="1:5">
      <c r="A44" s="10"/>
      <c r="B44" s="10"/>
      <c r="C44" s="10"/>
      <c r="D44" s="10"/>
      <c r="E44" s="10"/>
    </row>
  </sheetData>
  <mergeCells count="1">
    <mergeCell ref="A40:E4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7EEC-03BB-4112-A1E2-585A61A2F3F6}">
  <dimension ref="A1:G13"/>
  <sheetViews>
    <sheetView topLeftCell="A6" workbookViewId="0">
      <selection activeCell="C22" sqref="C22"/>
    </sheetView>
  </sheetViews>
  <sheetFormatPr defaultRowHeight="15"/>
  <cols>
    <col min="1" max="1" width="13.85546875" bestFit="1" customWidth="1"/>
    <col min="2" max="2" width="10.28515625" bestFit="1" customWidth="1"/>
    <col min="3" max="3" width="23" style="2" bestFit="1" customWidth="1"/>
    <col min="4" max="4" width="26.140625" style="2" bestFit="1" customWidth="1"/>
  </cols>
  <sheetData>
    <row r="1" spans="1:7">
      <c r="A1" t="s">
        <v>0</v>
      </c>
      <c r="B1" t="s">
        <v>2</v>
      </c>
      <c r="C1" s="2" t="s">
        <v>27</v>
      </c>
      <c r="D1" s="2" t="s">
        <v>28</v>
      </c>
      <c r="F1" t="s">
        <v>0</v>
      </c>
      <c r="G1" t="s">
        <v>27</v>
      </c>
    </row>
    <row r="2" spans="1:7">
      <c r="A2" t="s">
        <v>7</v>
      </c>
      <c r="B2">
        <f>'Campus Data'!C2</f>
        <v>67</v>
      </c>
      <c r="C2" s="2">
        <f>'Campus Data'!G2</f>
        <v>880</v>
      </c>
      <c r="D2" s="2">
        <f>IFERROR(C2/B2,0)</f>
        <v>13.134328358208956</v>
      </c>
      <c r="F2" t="str">
        <f>A2</f>
        <v>Cornell</v>
      </c>
      <c r="G2" s="2">
        <f>C2</f>
        <v>880</v>
      </c>
    </row>
    <row r="3" spans="1:7">
      <c r="A3" t="s">
        <v>10</v>
      </c>
      <c r="B3">
        <f>'Campus Data'!C9</f>
        <v>65</v>
      </c>
      <c r="C3" s="2">
        <f>'Campus Data'!G9</f>
        <v>850</v>
      </c>
      <c r="D3" s="2">
        <f>IFERROR(C3/B3,0)</f>
        <v>13.076923076923077</v>
      </c>
      <c r="F3" t="str">
        <f t="shared" ref="F3:F13" si="0">A3</f>
        <v>Penn State</v>
      </c>
      <c r="G3" s="2">
        <f t="shared" ref="G3:G13" si="1">C3</f>
        <v>850</v>
      </c>
    </row>
    <row r="4" spans="1:7">
      <c r="A4" t="s">
        <v>12</v>
      </c>
      <c r="B4">
        <f>'Campus Data'!C11</f>
        <v>57</v>
      </c>
      <c r="C4" s="2">
        <f>'Campus Data'!G11</f>
        <v>730</v>
      </c>
      <c r="D4" s="2">
        <f>IFERROR(C4/B4,0)</f>
        <v>12.807017543859649</v>
      </c>
      <c r="F4" t="str">
        <f t="shared" si="0"/>
        <v>Rutgers</v>
      </c>
      <c r="G4" s="2">
        <f t="shared" si="1"/>
        <v>730</v>
      </c>
    </row>
    <row r="5" spans="1:7">
      <c r="A5" t="s">
        <v>14</v>
      </c>
      <c r="B5">
        <f>'Campus Data'!C10</f>
        <v>54</v>
      </c>
      <c r="C5" s="2">
        <f>'Campus Data'!G10</f>
        <v>685</v>
      </c>
      <c r="D5" s="2">
        <f>IFERROR(C5/B5,0)</f>
        <v>12.685185185185185</v>
      </c>
      <c r="F5" t="str">
        <f t="shared" si="0"/>
        <v>Michigan</v>
      </c>
      <c r="G5" s="2">
        <f t="shared" si="1"/>
        <v>685</v>
      </c>
    </row>
    <row r="6" spans="1:7">
      <c r="A6" t="s">
        <v>15</v>
      </c>
      <c r="B6">
        <f>'Campus Data'!C6</f>
        <v>51</v>
      </c>
      <c r="C6" s="2">
        <f>'Campus Data'!G6</f>
        <v>640</v>
      </c>
      <c r="D6" s="2">
        <f>IFERROR(C6/B6,0)</f>
        <v>12.549019607843137</v>
      </c>
      <c r="F6" t="str">
        <f t="shared" si="0"/>
        <v>UCF</v>
      </c>
      <c r="G6" s="2">
        <f t="shared" si="1"/>
        <v>640</v>
      </c>
    </row>
    <row r="7" spans="1:7">
      <c r="A7" t="s">
        <v>9</v>
      </c>
      <c r="B7">
        <f>'Campus Data'!C3</f>
        <v>47</v>
      </c>
      <c r="C7" s="2">
        <f>'Campus Data'!G3</f>
        <v>580</v>
      </c>
      <c r="D7" s="2">
        <f>IFERROR(C7/B7,0)</f>
        <v>12.340425531914894</v>
      </c>
      <c r="F7" t="str">
        <f t="shared" si="0"/>
        <v>UNC Charlotte</v>
      </c>
      <c r="G7" s="2">
        <f t="shared" si="1"/>
        <v>580</v>
      </c>
    </row>
    <row r="8" spans="1:7">
      <c r="A8" t="s">
        <v>13</v>
      </c>
      <c r="B8">
        <f>'Campus Data'!C5</f>
        <v>47</v>
      </c>
      <c r="C8" s="2">
        <f>'Campus Data'!G5</f>
        <v>580</v>
      </c>
      <c r="D8" s="2">
        <f>IFERROR(C8/B8,0)</f>
        <v>12.340425531914894</v>
      </c>
      <c r="F8" t="str">
        <f t="shared" si="0"/>
        <v>Arizona State</v>
      </c>
      <c r="G8" s="2">
        <f t="shared" si="1"/>
        <v>580</v>
      </c>
    </row>
    <row r="9" spans="1:7">
      <c r="A9" t="s">
        <v>11</v>
      </c>
      <c r="B9">
        <f>'Campus Data'!C4</f>
        <v>46</v>
      </c>
      <c r="C9" s="2">
        <f>'Campus Data'!G4</f>
        <v>565</v>
      </c>
      <c r="D9" s="2">
        <f>IFERROR(C9/B9,0)</f>
        <v>12.282608695652174</v>
      </c>
      <c r="F9" t="str">
        <f t="shared" si="0"/>
        <v>Tennessee</v>
      </c>
      <c r="G9" s="2">
        <f t="shared" si="1"/>
        <v>565</v>
      </c>
    </row>
    <row r="10" spans="1:7">
      <c r="A10" t="s">
        <v>19</v>
      </c>
      <c r="B10">
        <f>'Campus Data'!C12</f>
        <v>29</v>
      </c>
      <c r="C10" s="2">
        <f>'Campus Data'!G12</f>
        <v>310</v>
      </c>
      <c r="D10" s="2">
        <f>IFERROR(C10/B10,0)</f>
        <v>10.689655172413794</v>
      </c>
      <c r="F10" t="str">
        <f t="shared" si="0"/>
        <v>UC Berkeley</v>
      </c>
      <c r="G10" s="2">
        <f t="shared" si="1"/>
        <v>310</v>
      </c>
    </row>
    <row r="11" spans="1:7">
      <c r="A11" t="s">
        <v>20</v>
      </c>
      <c r="B11">
        <f>'Campus Data'!C13</f>
        <v>6</v>
      </c>
      <c r="C11" s="2">
        <f>'Campus Data'!G13</f>
        <v>35</v>
      </c>
      <c r="D11" s="2">
        <f>IFERROR(C11/B11,0)</f>
        <v>5.833333333333333</v>
      </c>
      <c r="F11" t="str">
        <f t="shared" si="0"/>
        <v>Clemson</v>
      </c>
      <c r="G11" s="2">
        <f t="shared" si="1"/>
        <v>35</v>
      </c>
    </row>
    <row r="12" spans="1:7">
      <c r="A12" t="s">
        <v>17</v>
      </c>
      <c r="B12">
        <f>'Campus Data'!C8</f>
        <v>2</v>
      </c>
      <c r="C12" s="2">
        <f>'Campus Data'!G8</f>
        <v>10</v>
      </c>
      <c r="D12" s="2">
        <f>IFERROR(C12/B12,0)</f>
        <v>5</v>
      </c>
      <c r="F12" t="str">
        <f t="shared" si="0"/>
        <v>FSU</v>
      </c>
      <c r="G12" s="2">
        <f t="shared" si="1"/>
        <v>10</v>
      </c>
    </row>
    <row r="13" spans="1:7">
      <c r="A13" t="s">
        <v>16</v>
      </c>
      <c r="B13">
        <f>'Campus Data'!C7</f>
        <v>1</v>
      </c>
      <c r="C13" s="2">
        <f>'Campus Data'!G7</f>
        <v>5</v>
      </c>
      <c r="D13" s="2">
        <f>IFERROR(C13/B13,0)</f>
        <v>5</v>
      </c>
      <c r="F13" t="str">
        <f t="shared" si="0"/>
        <v>FIU</v>
      </c>
      <c r="G13" s="2">
        <f t="shared" si="1"/>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8D00-91D8-400E-8AF4-F7C2D264DD3F}">
  <dimension ref="A1:E13"/>
  <sheetViews>
    <sheetView workbookViewId="0">
      <selection activeCell="C18" sqref="C18"/>
    </sheetView>
  </sheetViews>
  <sheetFormatPr defaultRowHeight="15"/>
  <cols>
    <col min="1" max="1" width="14.140625" customWidth="1"/>
    <col min="4" max="4" width="24" customWidth="1"/>
    <col min="5" max="5" width="20.5703125" customWidth="1"/>
  </cols>
  <sheetData>
    <row r="1" spans="1:5">
      <c r="A1" t="s">
        <v>0</v>
      </c>
      <c r="B1" t="s">
        <v>2</v>
      </c>
      <c r="C1" t="s">
        <v>1</v>
      </c>
      <c r="D1" t="s">
        <v>5</v>
      </c>
      <c r="E1" t="s">
        <v>29</v>
      </c>
    </row>
    <row r="2" spans="1:5">
      <c r="A2" t="str">
        <f>'Campus Data'!A2</f>
        <v>Cornell</v>
      </c>
      <c r="B2">
        <f>'Campus Data'!C2</f>
        <v>67</v>
      </c>
      <c r="C2">
        <f>IF('Campus Data'!B2="","",'Campus Data'!B2)</f>
        <v>486</v>
      </c>
      <c r="D2">
        <f>IF(C2="","",B2/C2*100)</f>
        <v>13.786008230452676</v>
      </c>
      <c r="E2" t="str">
        <f>IF(B2&gt;=50,"High Volume",IF(B2&gt;=20,"Moderate Volume","Low Volume"))</f>
        <v>High Volume</v>
      </c>
    </row>
    <row r="3" spans="1:5">
      <c r="A3" t="str">
        <f>'Campus Data'!A3</f>
        <v>UNC Charlotte</v>
      </c>
      <c r="B3">
        <f>'Campus Data'!C3</f>
        <v>47</v>
      </c>
      <c r="C3">
        <f>IF('Campus Data'!B3="","",'Campus Data'!B3)</f>
        <v>464</v>
      </c>
      <c r="D3">
        <f t="shared" ref="D3:D13" si="0">IF(C3="","",B3/C3*100)</f>
        <v>10.129310344827585</v>
      </c>
      <c r="E3" t="str">
        <f t="shared" ref="E3:E13" si="1">IF(B3&gt;=50,"High Volume",IF(B3&gt;=20,"Moderate Volume","Low Volume"))</f>
        <v>Moderate Volume</v>
      </c>
    </row>
    <row r="4" spans="1:5">
      <c r="A4" t="str">
        <f>'Campus Data'!A4</f>
        <v>Tennessee</v>
      </c>
      <c r="B4">
        <f>'Campus Data'!C4</f>
        <v>46</v>
      </c>
      <c r="C4">
        <f>IF('Campus Data'!B4="","",'Campus Data'!B4)</f>
        <v>297</v>
      </c>
      <c r="D4">
        <f t="shared" si="0"/>
        <v>15.488215488215488</v>
      </c>
      <c r="E4" t="str">
        <f t="shared" si="1"/>
        <v>Moderate Volume</v>
      </c>
    </row>
    <row r="5" spans="1:5">
      <c r="A5" t="str">
        <f>'Campus Data'!A5</f>
        <v>Arizona State</v>
      </c>
      <c r="B5">
        <f>'Campus Data'!C5</f>
        <v>47</v>
      </c>
      <c r="C5">
        <f>IF('Campus Data'!B5="","",'Campus Data'!B5)</f>
        <v>253</v>
      </c>
      <c r="D5">
        <f t="shared" si="0"/>
        <v>18.57707509881423</v>
      </c>
      <c r="E5" t="str">
        <f t="shared" si="1"/>
        <v>Moderate Volume</v>
      </c>
    </row>
    <row r="6" spans="1:5">
      <c r="A6" t="str">
        <f>'Campus Data'!A6</f>
        <v>UCF</v>
      </c>
      <c r="B6">
        <f>'Campus Data'!C6</f>
        <v>51</v>
      </c>
      <c r="C6">
        <f>IF('Campus Data'!B6="","",'Campus Data'!B6)</f>
        <v>402</v>
      </c>
      <c r="D6">
        <f t="shared" si="0"/>
        <v>12.686567164179104</v>
      </c>
      <c r="E6" t="str">
        <f t="shared" si="1"/>
        <v>High Volume</v>
      </c>
    </row>
    <row r="7" spans="1:5">
      <c r="A7" t="str">
        <f>'Campus Data'!A7</f>
        <v>FIU</v>
      </c>
      <c r="B7">
        <f>'Campus Data'!C7</f>
        <v>1</v>
      </c>
      <c r="C7">
        <f>IF('Campus Data'!B7="","",'Campus Data'!B7)</f>
        <v>57</v>
      </c>
      <c r="D7">
        <f t="shared" si="0"/>
        <v>1.7543859649122806</v>
      </c>
      <c r="E7" t="str">
        <f t="shared" si="1"/>
        <v>Low Volume</v>
      </c>
    </row>
    <row r="8" spans="1:5">
      <c r="A8" t="str">
        <f>'Campus Data'!A8</f>
        <v>FSU</v>
      </c>
      <c r="B8">
        <f>'Campus Data'!C8</f>
        <v>2</v>
      </c>
      <c r="C8">
        <f>IF('Campus Data'!B8="","",'Campus Data'!B8)</f>
        <v>63</v>
      </c>
      <c r="D8">
        <f t="shared" si="0"/>
        <v>3.1746031746031744</v>
      </c>
      <c r="E8" t="str">
        <f t="shared" si="1"/>
        <v>Low Volume</v>
      </c>
    </row>
    <row r="9" spans="1:5">
      <c r="A9" t="str">
        <f>'Campus Data'!A9</f>
        <v>Penn State</v>
      </c>
      <c r="B9">
        <f>'Campus Data'!C9</f>
        <v>65</v>
      </c>
      <c r="C9" t="str">
        <f>IF('Campus Data'!B9="","",'Campus Data'!B9)</f>
        <v/>
      </c>
      <c r="D9" t="str">
        <f t="shared" si="0"/>
        <v/>
      </c>
      <c r="E9" t="str">
        <f t="shared" si="1"/>
        <v>High Volume</v>
      </c>
    </row>
    <row r="10" spans="1:5">
      <c r="A10" t="str">
        <f>'Campus Data'!A10</f>
        <v>Michigan</v>
      </c>
      <c r="B10">
        <f>'Campus Data'!C10</f>
        <v>54</v>
      </c>
      <c r="C10">
        <f>IF('Campus Data'!B10="","",'Campus Data'!B10)</f>
        <v>351</v>
      </c>
      <c r="D10">
        <f t="shared" si="0"/>
        <v>15.384615384615385</v>
      </c>
      <c r="E10" t="str">
        <f t="shared" si="1"/>
        <v>High Volume</v>
      </c>
    </row>
    <row r="11" spans="1:5">
      <c r="A11" t="str">
        <f>'Campus Data'!A11</f>
        <v>Rutgers</v>
      </c>
      <c r="B11">
        <f>'Campus Data'!C11</f>
        <v>57</v>
      </c>
      <c r="C11">
        <f>IF('Campus Data'!B11="","",'Campus Data'!B11)</f>
        <v>439</v>
      </c>
      <c r="D11">
        <f t="shared" si="0"/>
        <v>12.984054669703873</v>
      </c>
      <c r="E11" t="str">
        <f t="shared" si="1"/>
        <v>High Volume</v>
      </c>
    </row>
    <row r="12" spans="1:5">
      <c r="A12" t="str">
        <f>'Campus Data'!A12</f>
        <v>UC Berkeley</v>
      </c>
      <c r="B12">
        <f>'Campus Data'!C12</f>
        <v>29</v>
      </c>
      <c r="C12" t="str">
        <f>IF('Campus Data'!B12="","",'Campus Data'!B12)</f>
        <v/>
      </c>
      <c r="D12" t="str">
        <f t="shared" si="0"/>
        <v/>
      </c>
      <c r="E12" t="str">
        <f t="shared" si="1"/>
        <v>Moderate Volume</v>
      </c>
    </row>
    <row r="13" spans="1:5">
      <c r="A13" t="str">
        <f>'Campus Data'!A13</f>
        <v>Clemson</v>
      </c>
      <c r="B13">
        <f>'Campus Data'!C13</f>
        <v>6</v>
      </c>
      <c r="C13" t="str">
        <f>IF('Campus Data'!B13="","",'Campus Data'!B13)</f>
        <v/>
      </c>
      <c r="D13" t="str">
        <f t="shared" si="0"/>
        <v/>
      </c>
      <c r="E13" t="str">
        <f t="shared" si="1"/>
        <v>Low Volume</v>
      </c>
    </row>
  </sheetData>
  <conditionalFormatting sqref="E2:E13">
    <cfRule type="containsText" dxfId="3" priority="3" operator="containsText" text="High Volume">
      <formula>NOT(ISERROR(SEARCH("High Volume",E2)))</formula>
    </cfRule>
  </conditionalFormatting>
  <conditionalFormatting sqref="E2:E13">
    <cfRule type="containsText" dxfId="2" priority="2" operator="containsText" text="Moderate Volume">
      <formula>NOT(ISERROR(SEARCH("Moderate Volume",E2)))</formula>
    </cfRule>
  </conditionalFormatting>
  <conditionalFormatting sqref="E2:E13">
    <cfRule type="containsText" dxfId="1" priority="1" operator="containsText" text="Low Volume">
      <formula>NOT(ISERROR(SEARCH("Low Volume",E2)))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A4E7-9499-4FF1-A13C-E3BFFC5AFE13}">
  <dimension ref="A1:C15"/>
  <sheetViews>
    <sheetView workbookViewId="0">
      <selection activeCell="A11" sqref="A11:C15"/>
    </sheetView>
  </sheetViews>
  <sheetFormatPr defaultRowHeight="15"/>
  <cols>
    <col min="1" max="1" width="10" bestFit="1" customWidth="1"/>
    <col min="2" max="2" width="12.7109375" bestFit="1" customWidth="1"/>
    <col min="3" max="3" width="43.85546875" style="9" customWidth="1"/>
  </cols>
  <sheetData>
    <row r="1" spans="1:3">
      <c r="A1" t="s">
        <v>30</v>
      </c>
      <c r="B1" t="s">
        <v>0</v>
      </c>
      <c r="C1" s="9" t="s">
        <v>31</v>
      </c>
    </row>
    <row r="2" spans="1:3" ht="45.75">
      <c r="A2" t="s">
        <v>32</v>
      </c>
      <c r="B2" t="s">
        <v>13</v>
      </c>
      <c r="C2" s="9" t="s">
        <v>33</v>
      </c>
    </row>
    <row r="3" spans="1:3" ht="45.75">
      <c r="A3" t="s">
        <v>32</v>
      </c>
      <c r="B3" t="s">
        <v>7</v>
      </c>
      <c r="C3" s="9" t="s">
        <v>34</v>
      </c>
    </row>
    <row r="4" spans="1:3" ht="30.75">
      <c r="A4" t="s">
        <v>32</v>
      </c>
      <c r="B4" t="s">
        <v>10</v>
      </c>
      <c r="C4" s="9" t="s">
        <v>35</v>
      </c>
    </row>
    <row r="5" spans="1:3" ht="30.75">
      <c r="A5" t="s">
        <v>36</v>
      </c>
      <c r="B5" t="s">
        <v>11</v>
      </c>
      <c r="C5" s="9" t="s">
        <v>37</v>
      </c>
    </row>
    <row r="6" spans="1:3" ht="30.75">
      <c r="A6" t="s">
        <v>36</v>
      </c>
      <c r="B6" t="s">
        <v>38</v>
      </c>
      <c r="C6" s="9" t="s">
        <v>39</v>
      </c>
    </row>
    <row r="10" spans="1:3">
      <c r="A10" t="s">
        <v>40</v>
      </c>
    </row>
    <row r="11" spans="1:3">
      <c r="A11" s="10" t="s">
        <v>41</v>
      </c>
      <c r="B11" s="10"/>
      <c r="C11" s="10"/>
    </row>
    <row r="12" spans="1:3">
      <c r="A12" s="10"/>
      <c r="B12" s="10"/>
      <c r="C12" s="10"/>
    </row>
    <row r="13" spans="1:3">
      <c r="A13" s="10"/>
      <c r="B13" s="10"/>
      <c r="C13" s="10"/>
    </row>
    <row r="14" spans="1:3">
      <c r="A14" s="10"/>
      <c r="B14" s="10"/>
      <c r="C14" s="10"/>
    </row>
    <row r="15" spans="1:3">
      <c r="A15" s="10"/>
      <c r="B15" s="10"/>
      <c r="C15" s="10"/>
    </row>
  </sheetData>
  <mergeCells count="1">
    <mergeCell ref="A11:C15"/>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A15A-6ECE-48E5-9959-56EE9427C84A}">
  <dimension ref="A1:C10"/>
  <sheetViews>
    <sheetView workbookViewId="0">
      <selection activeCell="C18" sqref="C18"/>
    </sheetView>
  </sheetViews>
  <sheetFormatPr defaultRowHeight="15"/>
  <cols>
    <col min="1" max="1" width="23.140625" bestFit="1" customWidth="1"/>
    <col min="2" max="2" width="17.140625" bestFit="1" customWidth="1"/>
    <col min="3" max="3" width="53.140625" customWidth="1"/>
  </cols>
  <sheetData>
    <row r="1" spans="1:3">
      <c r="A1" t="s">
        <v>42</v>
      </c>
      <c r="B1" t="s">
        <v>43</v>
      </c>
      <c r="C1" t="s">
        <v>44</v>
      </c>
    </row>
    <row r="2" spans="1:3">
      <c r="A2" t="s">
        <v>45</v>
      </c>
      <c r="B2" s="11">
        <v>5</v>
      </c>
      <c r="C2" t="s">
        <v>46</v>
      </c>
    </row>
    <row r="3" spans="1:3">
      <c r="A3" t="s">
        <v>47</v>
      </c>
      <c r="B3" s="11">
        <v>10</v>
      </c>
      <c r="C3" t="s">
        <v>48</v>
      </c>
    </row>
    <row r="4" spans="1:3">
      <c r="A4" t="s">
        <v>49</v>
      </c>
      <c r="B4" s="11">
        <v>15</v>
      </c>
      <c r="C4" t="s">
        <v>50</v>
      </c>
    </row>
    <row r="5" spans="1:3">
      <c r="A5" t="s">
        <v>51</v>
      </c>
      <c r="B5" s="11">
        <v>15</v>
      </c>
      <c r="C5" t="s">
        <v>52</v>
      </c>
    </row>
    <row r="6" spans="1:3">
      <c r="A6" t="s">
        <v>53</v>
      </c>
      <c r="B6" t="s">
        <v>54</v>
      </c>
      <c r="C6" t="s">
        <v>55</v>
      </c>
    </row>
    <row r="7" spans="1:3">
      <c r="A7" t="s">
        <v>56</v>
      </c>
      <c r="B7" t="s">
        <v>57</v>
      </c>
      <c r="C7" t="s">
        <v>58</v>
      </c>
    </row>
    <row r="8" spans="1:3">
      <c r="A8" t="s">
        <v>59</v>
      </c>
      <c r="B8" t="s">
        <v>60</v>
      </c>
      <c r="C8" t="s">
        <v>61</v>
      </c>
    </row>
    <row r="9" spans="1:3">
      <c r="A9" t="s">
        <v>62</v>
      </c>
      <c r="B9" t="s">
        <v>63</v>
      </c>
      <c r="C9" t="s">
        <v>64</v>
      </c>
    </row>
    <row r="10" spans="1:3">
      <c r="A10" t="s">
        <v>65</v>
      </c>
      <c r="B10" t="s">
        <v>66</v>
      </c>
      <c r="C10" t="s">
        <v>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381D-0B9E-4B43-B1EC-0940AE7808C1}">
  <dimension ref="A1:H20"/>
  <sheetViews>
    <sheetView workbookViewId="0">
      <selection activeCell="H6" sqref="H6"/>
    </sheetView>
  </sheetViews>
  <sheetFormatPr defaultRowHeight="15"/>
  <cols>
    <col min="1" max="1" width="16.42578125" customWidth="1"/>
    <col min="2" max="2" width="13.7109375" style="2" customWidth="1"/>
    <col min="3" max="3" width="14" style="2" customWidth="1"/>
    <col min="4" max="4" width="14.140625" customWidth="1"/>
    <col min="5" max="5" width="13.42578125" customWidth="1"/>
    <col min="7" max="7" width="24.42578125" customWidth="1"/>
    <col min="8" max="8" width="14.42578125" customWidth="1"/>
  </cols>
  <sheetData>
    <row r="1" spans="1:8">
      <c r="A1" t="s">
        <v>68</v>
      </c>
      <c r="B1" s="2" t="s">
        <v>69</v>
      </c>
      <c r="C1" s="2" t="s">
        <v>70</v>
      </c>
      <c r="G1" t="s">
        <v>71</v>
      </c>
      <c r="H1" t="s">
        <v>72</v>
      </c>
    </row>
    <row r="2" spans="1:8">
      <c r="A2" t="s">
        <v>73</v>
      </c>
      <c r="B2" s="2">
        <v>5</v>
      </c>
      <c r="C2" s="2">
        <v>5</v>
      </c>
      <c r="G2" t="s">
        <v>74</v>
      </c>
      <c r="H2" s="2">
        <f>C20</f>
        <v>5870</v>
      </c>
    </row>
    <row r="3" spans="1:8">
      <c r="A3" t="s">
        <v>75</v>
      </c>
      <c r="B3" s="2">
        <v>10</v>
      </c>
      <c r="C3" s="2">
        <v>8</v>
      </c>
      <c r="G3" t="s">
        <v>76</v>
      </c>
      <c r="H3" s="2">
        <f>D20</f>
        <v>4749</v>
      </c>
    </row>
    <row r="4" spans="1:8">
      <c r="A4" t="s">
        <v>77</v>
      </c>
      <c r="B4" s="2">
        <v>15</v>
      </c>
      <c r="C4" s="2">
        <v>12</v>
      </c>
    </row>
    <row r="6" spans="1:8">
      <c r="G6" t="s">
        <v>78</v>
      </c>
      <c r="H6" s="12">
        <f>IFERROR(E20/C20,0)</f>
        <v>0.19097103918228278</v>
      </c>
    </row>
    <row r="7" spans="1:8">
      <c r="A7" t="s">
        <v>0</v>
      </c>
      <c r="B7" s="2" t="s">
        <v>2</v>
      </c>
      <c r="C7" s="2" t="s">
        <v>79</v>
      </c>
      <c r="D7" t="s">
        <v>80</v>
      </c>
      <c r="E7" t="s">
        <v>81</v>
      </c>
    </row>
    <row r="8" spans="1:8">
      <c r="A8" t="str">
        <f>'Campus Data'!A2</f>
        <v>Cornell</v>
      </c>
      <c r="B8" s="2">
        <f>'Campus Data'!C2</f>
        <v>67</v>
      </c>
      <c r="C8" s="2">
        <f>MIN(B8,5)*$B$2+MAX(0,MIN(B8-5,15))*$B$3+MAX(0,B8-20)*$B$4</f>
        <v>880</v>
      </c>
      <c r="D8" s="2">
        <f>MIN(B8,5)*$C$2+MAX(0,MIN(B8-5,15))*$C$3+MAX(0,B8-20)*$C$4</f>
        <v>709</v>
      </c>
      <c r="E8" s="2">
        <f>C8-D8</f>
        <v>171</v>
      </c>
    </row>
    <row r="9" spans="1:8">
      <c r="A9" t="str">
        <f>'Campus Data'!A3</f>
        <v>UNC Charlotte</v>
      </c>
      <c r="B9" s="2">
        <f>'Campus Data'!C3</f>
        <v>47</v>
      </c>
      <c r="C9" s="2">
        <f t="shared" ref="C9:C19" si="0">MIN(B9,5)*$B$2+MAX(0,MIN(B9-5,15))*$B$3+MAX(0,B9-20)*$B$4</f>
        <v>580</v>
      </c>
      <c r="D9" s="2">
        <f t="shared" ref="D9:D19" si="1">MIN(B9,5)*$C$2+MAX(0,MIN(B9-5,15))*$C$3+MAX(0,B9-20)*$C$4</f>
        <v>469</v>
      </c>
      <c r="E9" s="2">
        <f t="shared" ref="E9:E19" si="2">C9-D9</f>
        <v>111</v>
      </c>
    </row>
    <row r="10" spans="1:8">
      <c r="A10" t="str">
        <f>'Campus Data'!A4</f>
        <v>Tennessee</v>
      </c>
      <c r="B10" s="2">
        <f>'Campus Data'!C4</f>
        <v>46</v>
      </c>
      <c r="C10" s="2">
        <f t="shared" si="0"/>
        <v>565</v>
      </c>
      <c r="D10" s="2">
        <f t="shared" si="1"/>
        <v>457</v>
      </c>
      <c r="E10" s="2">
        <f t="shared" si="2"/>
        <v>108</v>
      </c>
    </row>
    <row r="11" spans="1:8">
      <c r="A11" t="str">
        <f>'Campus Data'!A5</f>
        <v>Arizona State</v>
      </c>
      <c r="B11" s="2">
        <f>'Campus Data'!C5</f>
        <v>47</v>
      </c>
      <c r="C11" s="2">
        <f t="shared" si="0"/>
        <v>580</v>
      </c>
      <c r="D11" s="2">
        <f t="shared" si="1"/>
        <v>469</v>
      </c>
      <c r="E11" s="2">
        <f t="shared" si="2"/>
        <v>111</v>
      </c>
    </row>
    <row r="12" spans="1:8">
      <c r="A12" t="str">
        <f>'Campus Data'!A6</f>
        <v>UCF</v>
      </c>
      <c r="B12" s="2">
        <f>'Campus Data'!C6</f>
        <v>51</v>
      </c>
      <c r="C12" s="2">
        <f t="shared" si="0"/>
        <v>640</v>
      </c>
      <c r="D12" s="2">
        <f t="shared" si="1"/>
        <v>517</v>
      </c>
      <c r="E12" s="2">
        <f t="shared" si="2"/>
        <v>123</v>
      </c>
    </row>
    <row r="13" spans="1:8">
      <c r="A13" t="str">
        <f>'Campus Data'!A7</f>
        <v>FIU</v>
      </c>
      <c r="B13" s="2">
        <f>'Campus Data'!C7</f>
        <v>1</v>
      </c>
      <c r="C13" s="2">
        <f t="shared" si="0"/>
        <v>5</v>
      </c>
      <c r="D13" s="2">
        <f t="shared" si="1"/>
        <v>5</v>
      </c>
      <c r="E13" s="2">
        <f t="shared" si="2"/>
        <v>0</v>
      </c>
    </row>
    <row r="14" spans="1:8">
      <c r="A14" t="str">
        <f>'Campus Data'!A8</f>
        <v>FSU</v>
      </c>
      <c r="B14" s="2">
        <f>'Campus Data'!C8</f>
        <v>2</v>
      </c>
      <c r="C14" s="2">
        <f t="shared" si="0"/>
        <v>10</v>
      </c>
      <c r="D14" s="2">
        <f t="shared" si="1"/>
        <v>10</v>
      </c>
      <c r="E14" s="2">
        <f t="shared" si="2"/>
        <v>0</v>
      </c>
    </row>
    <row r="15" spans="1:8">
      <c r="A15" t="str">
        <f>'Campus Data'!A9</f>
        <v>Penn State</v>
      </c>
      <c r="B15" s="2">
        <f>'Campus Data'!C9</f>
        <v>65</v>
      </c>
      <c r="C15" s="2">
        <f t="shared" si="0"/>
        <v>850</v>
      </c>
      <c r="D15" s="2">
        <f t="shared" si="1"/>
        <v>685</v>
      </c>
      <c r="E15" s="2">
        <f t="shared" si="2"/>
        <v>165</v>
      </c>
    </row>
    <row r="16" spans="1:8">
      <c r="A16" t="str">
        <f>'Campus Data'!A10</f>
        <v>Michigan</v>
      </c>
      <c r="B16" s="2">
        <f>'Campus Data'!C10</f>
        <v>54</v>
      </c>
      <c r="C16" s="2">
        <f t="shared" si="0"/>
        <v>685</v>
      </c>
      <c r="D16" s="2">
        <f t="shared" si="1"/>
        <v>553</v>
      </c>
      <c r="E16" s="2">
        <f t="shared" si="2"/>
        <v>132</v>
      </c>
    </row>
    <row r="17" spans="1:5">
      <c r="A17" t="str">
        <f>'Campus Data'!A11</f>
        <v>Rutgers</v>
      </c>
      <c r="B17" s="2">
        <f>'Campus Data'!C11</f>
        <v>57</v>
      </c>
      <c r="C17" s="2">
        <f t="shared" si="0"/>
        <v>730</v>
      </c>
      <c r="D17" s="2">
        <f t="shared" si="1"/>
        <v>589</v>
      </c>
      <c r="E17" s="2">
        <f t="shared" si="2"/>
        <v>141</v>
      </c>
    </row>
    <row r="18" spans="1:5">
      <c r="A18" t="str">
        <f>'Campus Data'!A12</f>
        <v>UC Berkeley</v>
      </c>
      <c r="B18" s="2">
        <f>'Campus Data'!C12</f>
        <v>29</v>
      </c>
      <c r="C18" s="2">
        <f t="shared" si="0"/>
        <v>310</v>
      </c>
      <c r="D18" s="2">
        <f t="shared" si="1"/>
        <v>253</v>
      </c>
      <c r="E18" s="2">
        <f t="shared" si="2"/>
        <v>57</v>
      </c>
    </row>
    <row r="19" spans="1:5">
      <c r="A19" t="str">
        <f>'Campus Data'!A13</f>
        <v>Clemson</v>
      </c>
      <c r="B19" s="2">
        <f>'Campus Data'!C13</f>
        <v>6</v>
      </c>
      <c r="C19" s="2">
        <f t="shared" si="0"/>
        <v>35</v>
      </c>
      <c r="D19" s="2">
        <f t="shared" si="1"/>
        <v>33</v>
      </c>
      <c r="E19" s="2">
        <f t="shared" si="2"/>
        <v>2</v>
      </c>
    </row>
    <row r="20" spans="1:5">
      <c r="A20" t="s">
        <v>82</v>
      </c>
      <c r="B20" s="2">
        <f>SUM(B8:B19)</f>
        <v>472</v>
      </c>
      <c r="C20" s="2">
        <f>SUM(C8:C19)</f>
        <v>5870</v>
      </c>
      <c r="D20" s="2">
        <f>SUM(D8:D19)</f>
        <v>4749</v>
      </c>
      <c r="E20" s="2">
        <f>SUM(E8:E19)</f>
        <v>1121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2026-10-28T23:58:38Z</dcterms:created>
  <dcterms:modified xsi:type="dcterms:W3CDTF">2026-10-29T01:48:31Z</dcterms:modified>
  <cp:category/>
  <cp:contentStatus/>
</cp:coreProperties>
</file>